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ba91a73f4d4f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度数分布表" sheetId="1" r:id="R9763ed87d5f141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%"/>
    <x:numFmt numFmtId="202" formatCode="0.00000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66666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70AD47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200" fontId="3" fillId="6" borderId="0" xfId="0" applyNumberFormat="1" applyFont="1" applyFill="1" applyBorder="1"/>
    <x:xf numFmtId="202" fontId="0" fillId="7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200" fontId="3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 wrapText="1"/>
    </x:xf>
    <x:xf numFmtId="202" fontId="0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ca768eb72d4a5c" /><Relationship Type="http://schemas.openxmlformats.org/officeDocument/2006/relationships/theme" Target="/xl/theme/theme1.xml" Id="Ree6d407ecf0d4910" /><Relationship Type="http://schemas.openxmlformats.org/officeDocument/2006/relationships/sharedStrings" Target="/xl/sharedStrings.xml" Id="Rc3bef122aec3484e" /><Relationship Type="http://schemas.openxmlformats.org/officeDocument/2006/relationships/worksheet" Target="/xl/worksheets/sheet1.xml" Id="R9763ed87d5f1414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de9ec63cf3e4ae4" /></Relationships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2</xdr:row>
      <xdr:rowOff>0</xdr:rowOff>
    </xdr:from>
    <xdr:ext cx="8572500" cy="4762500"/>
    <xdr:pic>
      <xdr:nvPicPr>
        <xdr:cNvPr id="1" name="cb145689-221d-436b-ad41-16431089cf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e9ec63cf3e4a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2d2ce2a41b649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4" hidden="0" customWidth="1"/>
    <x:col min="4" max="4" width="28" hidden="0" customWidth="1"/>
  </x:cols>
  <x:sheetData>
    <x:row r="1" ht="28" hidden="0" customHeight="1">
      <x:c r="A1" s="4" t="str">
        <x:v>ノード数の度数分布（10,000盤面）</x:v>
      </x:c>
      <x:c r="B1" s="4"/>
      <x:c r="C1" s="4"/>
      <x:c r="D1" s="4"/>
      <x:c r="P1" s="37" t="str">
        <x:v>グラフ用データ（0–9,999は上限250で省略表示）</x:v>
      </x:c>
      <x:c r="Q1" s="37"/>
    </x:row>
    <x:row r="2" ht="15" hidden="0" customHeight="1">
      <x:c r="A2" s="24" t="str">
        <x:v>上限なし版・連結成分単位。100,000ノード以上は集約。</x:v>
      </x:c>
      <x:c r="B2" s="24"/>
      <x:c r="C2" s="24"/>
      <x:c r="D2" s="24"/>
    </x:row>
    <x:row r="3" ht="15" hidden="0" customHeight="1">
      <x:c r="A3" s="25"/>
      <x:c r="B3" s="25"/>
      <x:c r="C3" s="25"/>
      <x:c r="D3" s="25"/>
    </x:row>
    <x:row r="4" ht="15" hidden="0" customHeight="1">
      <x:c r="A4" s="26" t="str">
        <x:v>ノード数階級</x:v>
      </x:c>
      <x:c r="B4" s="26" t="str">
        <x:v>度数（連結成分）</x:v>
      </x:c>
      <x:c r="C4" s="26" t="str">
        <x:v>相対度数</x:v>
      </x:c>
      <x:c r="D4" s="26" t="str">
        <x:v>備考</x:v>
      </x:c>
      <x:c r="P4" s="36" t="str">
        <x:v>ノード数階級</x:v>
      </x:c>
      <x:c r="Q4" s="36" t="str">
        <x:v>グラフ表示頻度</x:v>
      </x:c>
    </x:row>
    <x:row r="5" ht="15" hidden="0" customHeight="1">
      <x:c r="A5" s="25" t="str">
        <x:v>0–9,999</x:v>
      </x:c>
      <x:c r="B5" s="27" t="n">
        <x:v>113186</x:v>
      </x:c>
      <x:c r="C5" s="28" t="n">
        <x:f>B5/SUM($B$5:$B$15)</x:f>
        <x:v>0.9967241409676113</x:v>
      </x:c>
      <x:c r="D5" s="25" t="str">
        <x:v>省略線で上部を分離（実度数113,186）</x:v>
      </x:c>
      <x:c r="P5" s="12" t="str">
        <x:v>0–9,999</x:v>
      </x:c>
      <x:c r="Q5" s="12" t="n">
        <x:v>250</x:v>
      </x:c>
    </x:row>
    <x:row r="6" ht="15" hidden="0" customHeight="1">
      <x:c r="A6" s="25" t="str">
        <x:v>10,000–19,999</x:v>
      </x:c>
      <x:c r="B6" s="27" t="n">
        <x:v>192</x:v>
      </x:c>
      <x:c r="C6" s="28" t="n">
        <x:f>B6/SUM($B$5:$B$15)</x:f>
        <x:v>0.0016907659522006375</x:v>
      </x:c>
      <x:c r="D6" s="25" t="str"/>
      <x:c r="P6" s="12" t="str">
        <x:v>10,000–19,999</x:v>
      </x:c>
      <x:c r="Q6" s="12" t="n">
        <x:v>192</x:v>
      </x:c>
    </x:row>
    <x:row r="7" ht="15" hidden="0" customHeight="1">
      <x:c r="A7" s="25" t="str">
        <x:v>20,000–29,999</x:v>
      </x:c>
      <x:c r="B7" s="27" t="n">
        <x:v>66</x:v>
      </x:c>
      <x:c r="C7" s="28" t="n">
        <x:f>B7/SUM($B$5:$B$15)</x:f>
        <x:v>0.0005812007960689691</x:v>
      </x:c>
      <x:c r="D7" s="25" t="str"/>
      <x:c r="P7" s="12" t="str">
        <x:v>20,000–29,999</x:v>
      </x:c>
      <x:c r="Q7" s="12" t="n">
        <x:v>66</x:v>
      </x:c>
    </x:row>
    <x:row r="8" ht="15" hidden="0" customHeight="1">
      <x:c r="A8" s="25" t="str">
        <x:v>30,000–39,999</x:v>
      </x:c>
      <x:c r="B8" s="27" t="n">
        <x:v>22</x:v>
      </x:c>
      <x:c r="C8" s="28" t="n">
        <x:f>B8/SUM($B$5:$B$15)</x:f>
        <x:v>0.00019373359868965639</x:v>
      </x:c>
      <x:c r="D8" s="25" t="str"/>
      <x:c r="P8" s="12" t="str">
        <x:v>30,000–39,999</x:v>
      </x:c>
      <x:c r="Q8" s="12" t="n">
        <x:v>22</x:v>
      </x:c>
    </x:row>
    <x:row r="9" ht="15" hidden="0" customHeight="1">
      <x:c r="A9" s="25" t="str">
        <x:v>40,000–49,999</x:v>
      </x:c>
      <x:c r="B9" s="27" t="n">
        <x:v>18</x:v>
      </x:c>
      <x:c r="C9" s="28" t="n">
        <x:f>B9/SUM($B$5:$B$15)</x:f>
        <x:v>0.00015850930801880977</x:v>
      </x:c>
      <x:c r="D9" s="25" t="str"/>
      <x:c r="P9" s="12" t="str">
        <x:v>40,000–49,999</x:v>
      </x:c>
      <x:c r="Q9" s="12" t="n">
        <x:v>18</x:v>
      </x:c>
    </x:row>
    <x:row r="10" ht="15" hidden="0" customHeight="1">
      <x:c r="A10" s="25" t="str">
        <x:v>50,000–59,999</x:v>
      </x:c>
      <x:c r="B10" s="27" t="n">
        <x:v>23</x:v>
      </x:c>
      <x:c r="C10" s="28" t="n">
        <x:f>B10/SUM($B$5:$B$15)</x:f>
        <x:v>0.00020253967135736803</x:v>
      </x:c>
      <x:c r="D10" s="25" t="str"/>
      <x:c r="P10" s="12" t="str">
        <x:v>50,000–59,999</x:v>
      </x:c>
      <x:c r="Q10" s="12" t="n">
        <x:v>23</x:v>
      </x:c>
    </x:row>
    <x:row r="11" ht="15" hidden="0" customHeight="1">
      <x:c r="A11" s="25" t="str">
        <x:v>60,000–69,999</x:v>
      </x:c>
      <x:c r="B11" s="27" t="n">
        <x:v>7</x:v>
      </x:c>
      <x:c r="C11" s="28" t="n">
        <x:f>B11/SUM($B$5:$B$15)</x:f>
        <x:v>0.00006164250867398158</x:v>
      </x:c>
      <x:c r="D11" s="25" t="str"/>
      <x:c r="P11" s="12" t="str">
        <x:v>60,000–69,999</x:v>
      </x:c>
      <x:c r="Q11" s="12" t="n">
        <x:v>7</x:v>
      </x:c>
    </x:row>
    <x:row r="12" ht="15" hidden="0" customHeight="1">
      <x:c r="A12" s="25" t="str">
        <x:v>70,000–79,999</x:v>
      </x:c>
      <x:c r="B12" s="27" t="n">
        <x:v>6</x:v>
      </x:c>
      <x:c r="C12" s="28" t="n">
        <x:f>B12/SUM($B$5:$B$15)</x:f>
        <x:v>0.00005283643600626992</x:v>
      </x:c>
      <x:c r="D12" s="25" t="str"/>
      <x:c r="P12" s="12" t="str">
        <x:v>70,000–79,999</x:v>
      </x:c>
      <x:c r="Q12" s="12" t="n">
        <x:v>6</x:v>
      </x:c>
    </x:row>
    <x:row r="13" ht="15" hidden="0" customHeight="1">
      <x:c r="A13" s="25" t="str">
        <x:v>80,000–89,999</x:v>
      </x:c>
      <x:c r="B13" s="27" t="n">
        <x:v>7</x:v>
      </x:c>
      <x:c r="C13" s="28" t="n">
        <x:f>B13/SUM($B$5:$B$15)</x:f>
        <x:v>0.00006164250867398158</x:v>
      </x:c>
      <x:c r="D13" s="25" t="str"/>
      <x:c r="P13" s="12" t="str">
        <x:v>80,000–89,999</x:v>
      </x:c>
      <x:c r="Q13" s="12" t="n">
        <x:v>7</x:v>
      </x:c>
    </x:row>
    <x:row r="14" ht="15" hidden="0" customHeight="1">
      <x:c r="A14" s="25" t="str">
        <x:v>90,000–99,999</x:v>
      </x:c>
      <x:c r="B14" s="27" t="n">
        <x:v>7</x:v>
      </x:c>
      <x:c r="C14" s="28" t="n">
        <x:f>B14/SUM($B$5:$B$15)</x:f>
        <x:v>0.00006164250867398158</x:v>
      </x:c>
      <x:c r="D14" s="25" t="str"/>
      <x:c r="P14" s="12" t="str">
        <x:v>90,000–99,999</x:v>
      </x:c>
      <x:c r="Q14" s="12" t="n">
        <x:v>7</x:v>
      </x:c>
    </x:row>
    <x:row r="15" ht="15" hidden="0" customHeight="1">
      <x:c r="A15" s="25" t="str">
        <x:v>100,000以上</x:v>
      </x:c>
      <x:c r="B15" s="27" t="n">
        <x:v>24</x:v>
      </x:c>
      <x:c r="C15" s="28" t="n">
        <x:f>B15/SUM($B$5:$B$15)</x:f>
        <x:v>0.00021134574402507968</x:v>
      </x:c>
      <x:c r="D15" s="25" t="str">
        <x:v>100,000ノード以上を集約</x:v>
      </x:c>
      <x:c r="P15" s="12" t="str">
        <x:v>100,000以上</x:v>
      </x:c>
      <x:c r="Q15" s="12" t="n">
        <x:v>24</x:v>
      </x:c>
    </x:row>
    <x:row r="16" ht="15" hidden="0" customHeight="1">
      <x:c r="A16" s="25"/>
      <x:c r="B16" s="27"/>
      <x:c r="C16" s="25"/>
      <x:c r="D16" s="25"/>
    </x:row>
    <x:row r="17" ht="15" hidden="0" customHeight="1">
      <x:c r="A17" s="29" t="str">
        <x:v>合計連結成分数</x:v>
      </x:c>
      <x:c r="B17" s="30" t="n">
        <x:f>SUM(B5:B15)</x:f>
        <x:v>113558</x:v>
      </x:c>
      <x:c r="C17" s="25"/>
      <x:c r="D17" s="25"/>
    </x:row>
    <x:row r="18" ht="15" hidden="0" customHeight="1">
      <x:c r="A18" s="29" t="str">
        <x:v>対象盤面数</x:v>
      </x:c>
      <x:c r="B18" s="30" t="n">
        <x:v>10000</x:v>
      </x:c>
      <x:c r="C18" s="25"/>
      <x:c r="D18" s="25"/>
    </x:row>
    <x:row r="19" ht="15" hidden="0" customHeight="1">
      <x:c r="A19" s="25"/>
      <x:c r="B19" s="25"/>
      <x:c r="C19" s="25"/>
      <x:c r="D19" s="25"/>
    </x:row>
    <x:row r="20" ht="15" hidden="0" customHeight="1">
      <x:c r="A20" s="31" t="str">
        <x:v>実行結果</x:v>
      </x:c>
      <x:c r="B20" s="32" t="str">
        <x:v>値</x:v>
      </x:c>
      <x:c r="C20" s="31" t="str">
        <x:v>単位</x:v>
      </x:c>
      <x:c r="D20" s="31" t="str">
        <x:v>条件</x:v>
      </x:c>
    </x:row>
    <x:row r="21" ht="15" hidden="0" customHeight="1">
      <x:c r="A21" s="25" t="str">
        <x:v>safe_opened</x:v>
      </x:c>
      <x:c r="B21" s="27" t="n">
        <x:v>1068459</x:v>
      </x:c>
      <x:c r="C21" s="25" t="str">
        <x:v>セル</x:v>
      </x:c>
      <x:c r="D21" s="25" t="str">
        <x:v>paiza.IO API・ノード上限なし</x:v>
      </x:c>
    </x:row>
    <x:row r="22" ht="15" hidden="0" customHeight="1">
      <x:c r="A22" s="25" t="str">
        <x:v>mines_opened</x:v>
      </x:c>
      <x:c r="B22" s="27" t="n">
        <x:v>10785</x:v>
      </x:c>
      <x:c r="C22" s="25" t="str">
        <x:v>セル</x:v>
      </x:c>
      <x:c r="D22" s="25" t="str">
        <x:v>paiza.IO API・ノード上限なし</x:v>
      </x:c>
    </x:row>
    <x:row r="23" ht="15" hidden="0" customHeight="1">
      <x:c r="A23" s="25"/>
      <x:c r="B23" s="25"/>
      <x:c r="C23" s="25"/>
      <x:c r="D23" s="25"/>
    </x:row>
    <x:row r="24" ht="15" hidden="0" customHeight="1">
      <x:c r="A24" s="33" t="str">
        <x:v>注意</x:v>
      </x:c>
      <x:c r="B24" s="33" t="str">
        <x:v>度数は盤面数ではなく、確率推論で処理された連結成分数です。</x:v>
      </x:c>
      <x:c r="C24" s="33"/>
      <x:c r="D24" s="33"/>
    </x:row>
    <x:row r="25" ht="15" hidden="0" customHeight="1">
      <x:c r="A25" s="33" t="str">
        <x:v>実行時間</x:v>
      </x:c>
      <x:c r="B25" s="34" t="n">
        <x:v>2.250597</x:v>
      </x:c>
      <x:c r="C25" s="33" t="str">
        <x:v>秒</x:v>
      </x:c>
      <x:c r="D25" s="33" t="str">
        <x:v>11分割入力のAPI実行時間合計</x:v>
      </x:c>
    </x:row>
  </x:sheetData>
  <x:mergeCells>
    <x:mergeCell ref="A1:D1"/>
    <x:mergeCell ref="A2:D2"/>
  </x:mergeCells>
  <x:pageMargins left="0.7" right="0.7" top="0.75" bottom="0.75" header="0.3" footer="0.3"/>
  <x:drawing xmlns:r="http://schemas.openxmlformats.org/officeDocument/2006/relationships" r:id="R82d2ce2a41b64982"/>
</x:worksheet>
</file>